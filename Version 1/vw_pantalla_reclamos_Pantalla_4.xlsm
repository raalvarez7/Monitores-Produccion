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hidePivotFieldList="1"/>
  <bookViews>
    <workbookView showHorizontalScroll="0" showVerticalScroll="0" showSheetTabs="0" xWindow="0" yWindow="0" windowWidth="15525" windowHeight="12480" activeTab="1"/>
  </bookViews>
  <sheets>
    <sheet name="Rpt GOL" sheetId="5" r:id="rId1"/>
    <sheet name="Pantalla" sheetId="6" r:id="rId2"/>
  </sheets>
  <definedNames>
    <definedName name="Consulta_desde_WALDBOTT6" localSheetId="0" hidden="1">'Rpt GOL'!$A$1:$G$2</definedName>
    <definedName name="LineaAMostrar">'Rpt GOL'!$L$7</definedName>
    <definedName name="Líneas">#REF!</definedName>
    <definedName name="Pedidos">'Rpt GOL'!$L$1</definedName>
    <definedName name="Piso">'Rpt GOL'!$L$5</definedName>
    <definedName name="Piso_Horario">'Rpt GOL'!$L$6</definedName>
    <definedName name="txtFechaProceso">'Rpt GOL'!$L$4</definedName>
    <definedName name="Unidades">'Rpt GOL'!$L$2</definedName>
  </definedNames>
  <calcPr calcId="144525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6" l="1"/>
  <c r="B2" i="6"/>
  <c r="L3" i="5" l="1"/>
  <c r="L4" i="5" s="1"/>
  <c r="L6" i="5"/>
</calcChain>
</file>

<file path=xl/connections.xml><?xml version="1.0" encoding="utf-8"?>
<connections xmlns="http://schemas.openxmlformats.org/spreadsheetml/2006/main">
  <connection id="1" name="GOL" type="1" refreshedVersion="4" savePassword="1" background="1" refreshOnLoad="1" saveData="1">
    <dbPr connection="DSN=WALDBOTT6;UID=ussql;PWD=;APP=Microsoft Office 2016;WSID=CROMO-112;DATABASE=WBT6_CROMOSOL" command="SELECT vw_GOL_Pantalla_1.FECHA, vw_GOL_Pantalla_1.APELLIDO, vw_GOL_Pantalla_1.CantidadPedidos, vw_GOL_Pantalla_1.&quot;U FACT&quot;, vw_GOL_Pantalla_1.&quot;UxB FACT&quot;, vw_GOL_Pantalla_1.Reclamos, vw_GOL_Pantalla_1.PromedioMensual_x000d__x000a_FROM WBT6_CROMOSOL.dbo.vw_GOL_Pantalla_1 vw_GOL_Pantalla_1_x000d__x000a_WHERE (vw_GOL_Pantalla_1.FECHA=?) AND (vw_GOL_Pantalla_1.APELLIDO=?)_x000d__x000a_ORDER BY vw_GOL_Pantalla_1.FECHA, vw_GOL_Pantalla_1.APELLIDO"/>
    <parameters count="2">
      <parameter name="Parámetro1" sqlType="11" parameterType="cell" cell="'Rpt GOL'!$L$4"/>
      <parameter name="Parámetro2" sqlType="12" parameterType="cell" cell="'Rpt GOL'!$L$7"/>
    </parameters>
  </connection>
</connections>
</file>

<file path=xl/sharedStrings.xml><?xml version="1.0" encoding="utf-8"?>
<sst xmlns="http://schemas.openxmlformats.org/spreadsheetml/2006/main" count="18" uniqueCount="18">
  <si>
    <t>FECHA</t>
  </si>
  <si>
    <t>APELLIDO</t>
  </si>
  <si>
    <t>CantidadPedidos</t>
  </si>
  <si>
    <t>U FACT</t>
  </si>
  <si>
    <t>UxB FACT</t>
  </si>
  <si>
    <t>Pedidos</t>
  </si>
  <si>
    <t>Unidades</t>
  </si>
  <si>
    <t>Piso</t>
  </si>
  <si>
    <t>Reclamos</t>
  </si>
  <si>
    <t>Proceso</t>
  </si>
  <si>
    <t>Piso Horario</t>
  </si>
  <si>
    <t>Línea a Mostrar</t>
  </si>
  <si>
    <t>PromedioMensual</t>
  </si>
  <si>
    <t>Texto Proceso</t>
  </si>
  <si>
    <t>TxtReclamos</t>
  </si>
  <si>
    <t>TxtPonderado</t>
  </si>
  <si>
    <t>LINEA 4</t>
  </si>
  <si>
    <t>Ultima actualización: 29/01/2018 09:01:00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</si>
</sst>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\-mmm\-yyyy;@"/>
    <numFmt numFmtId="165" formatCode="dd\-mmm\-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0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theme="5" tint="0.79998168889431442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1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2" fillId="2" borderId="1" xfId="0" applyFont="1" applyFill="1" applyBorder="1"/>
    <xf numFmtId="1" fontId="3" fillId="0" borderId="2" xfId="0" applyNumberFormat="1" applyFont="1" applyBorder="1" applyAlignment="1">
      <alignment horizontal="center" vertical="center" wrapText="1"/>
    </xf>
    <xf numFmtId="1" fontId="0" fillId="4" borderId="3" xfId="0" applyNumberFormat="1" applyFont="1" applyFill="1" applyBorder="1" applyAlignment="1">
      <alignment horizontal="center" vertical="center"/>
    </xf>
    <xf numFmtId="165" fontId="0" fillId="4" borderId="3" xfId="0" applyNumberFormat="1" applyFont="1" applyFill="1" applyBorder="1" applyAlignment="1">
      <alignment horizontal="center" vertical="center"/>
    </xf>
    <xf numFmtId="9" fontId="0" fillId="4" borderId="3" xfId="1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4" fillId="0" borderId="0" xfId="0" applyFont="1" applyAlignment="1">
      <alignment horizontal="center"/>
    </xf>
  </cellXfs>
  <cellStyles count="2">
    <cellStyle name="Normal" xfId="0" builtinId="0"/>
    <cellStyle name="Porcentaje" xfId="1" builtinId="5"/>
  </cellStyles>
  <dxfs count="7">
    <dxf>
      <numFmt numFmtId="1" formatCode="0"/>
    </dxf>
    <dxf>
      <numFmt numFmtId="1" formatCode="0"/>
    </dxf>
    <dxf>
      <numFmt numFmtId="164" formatCode="dd\-mmm\-yyyy;@"/>
    </dxf>
    <dxf>
      <numFmt numFmtId="1" formatCode="0"/>
    </dxf>
    <dxf>
      <numFmt numFmtId="1" formatCode="0"/>
    </dxf>
    <dxf>
      <numFmt numFmtId="1" formatCode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Consulta desde WALDBOTT6" refreshOnLoad="1" connectionId="1" autoFormatId="16" applyNumberFormats="0" applyBorderFormats="0" applyFontFormats="0" applyPatternFormats="0" applyAlignmentFormats="0" applyWidthHeightFormats="0">
  <queryTableRefresh nextId="14" unboundColumnsRight="2">
    <queryTableFields count="9">
      <queryTableField id="1" name="FECHA" tableColumnId="1"/>
      <queryTableField id="2" name="APELLIDO" tableColumnId="2"/>
      <queryTableField id="3" name="CantidadPedidos" tableColumnId="3"/>
      <queryTableField id="4" name="U FACT" tableColumnId="4"/>
      <queryTableField id="7" name="UxB FACT" tableColumnId="5"/>
      <queryTableField id="10" name="Reclamos" tableColumnId="9"/>
      <queryTableField id="11" name="PromedioMensual" tableColumnId="7"/>
      <queryTableField id="12" dataBound="0" tableColumnId="8"/>
      <queryTableField id="13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a_Consulta_desde_WALDBOTT6" displayName="Tabla_Consulta_desde_WALDBOTT6" ref="A1:I2" tableType="queryTable" insertRow="1" headerRowDxfId="6">
  <autoFilter ref="A1:I2"/>
  <tableColumns count="9">
    <tableColumn id="1" uniqueName="1" name="FECHA" totalsRowLabel="Total" queryTableFieldId="1" dataDxfId="2"/>
    <tableColumn id="2" uniqueName="2" name="APELLIDO" queryTableFieldId="2"/>
    <tableColumn id="3" uniqueName="3" name="CantidadPedidos" totalsRowFunction="average" queryTableFieldId="3"/>
    <tableColumn id="4" uniqueName="4" name="U FACT" totalsRowFunction="average" queryTableFieldId="4"/>
    <tableColumn id="5" uniqueName="5" name="UxB FACT" totalsRowFunction="average" queryTableFieldId="7" totalsRowDxfId="5"/>
    <tableColumn id="9" uniqueName="9" name="Reclamos" totalsRowFunction="average" queryTableFieldId="10" totalsRowDxfId="4"/>
    <tableColumn id="7" uniqueName="7" name="PromedioMensual" queryTableFieldId="11" totalsRowDxfId="3"/>
    <tableColumn id="8" uniqueName="8" name="TxtReclamos" queryTableFieldId="12" dataDxfId="1"/>
    <tableColumn id="10" uniqueName="10" name="TxtPonderado" queryTableFieldId="13" dataDxfId="0">
      <calculatedColumnFormula>(IF(ROUNDDOWN(Tabla_Consulta_desde_WALDBOTT6[[#This Row],[CantidadPedidos]]*Pedidos+Tabla_Consulta_desde_WALDBOTT6[[#This Row],[UxB FACT]]*Unidades,0)=0,"N/D",ROUNDDOWN(Tabla_Consulta_desde_WALDBOTT6[[#This Row],[CantidadPedidos]]*Pedidos+Tabla_Consulta_desde_WALDBOTT6[[#This Row],[UxB FACT]]*Unidades,0)))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14"/>
  <sheetViews>
    <sheetView topLeftCell="C1" zoomScaleNormal="100" workbookViewId="0">
      <selection activeCell="L7" sqref="L7"/>
    </sheetView>
  </sheetViews>
  <sheetFormatPr baseColWidth="10" defaultRowHeight="15" x14ac:dyDescent="0.25"/>
  <cols>
    <col min="1" max="1" width="11.28515625" customWidth="1"/>
    <col min="2" max="2" width="14" customWidth="1"/>
    <col min="3" max="3" width="20.7109375" customWidth="1"/>
    <col min="4" max="4" width="11.85546875" customWidth="1"/>
    <col min="5" max="6" width="14" customWidth="1"/>
    <col min="7" max="7" width="22.140625" customWidth="1"/>
    <col min="8" max="8" width="16.7109375" customWidth="1"/>
    <col min="9" max="9" width="18" customWidth="1"/>
    <col min="10" max="10" width="15.28515625" customWidth="1"/>
    <col min="11" max="11" width="14.5703125" bestFit="1" customWidth="1"/>
    <col min="12" max="12" width="11.85546875" bestFit="1" customWidth="1"/>
  </cols>
  <sheetData>
    <row r="1" spans="1:12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8</v>
      </c>
      <c r="G1" s="3" t="s">
        <v>12</v>
      </c>
      <c r="H1" s="3" t="s">
        <v>14</v>
      </c>
      <c r="I1" s="3" t="s">
        <v>15</v>
      </c>
      <c r="K1" s="4" t="s">
        <v>5</v>
      </c>
      <c r="L1" s="8">
        <v>0.7</v>
      </c>
    </row>
    <row r="2" spans="1:12" x14ac:dyDescent="0.25">
      <c r="A2" s="2"/>
      <c r="H2" s="1"/>
      <c r="I2" s="1"/>
      <c r="J2" s="1"/>
      <c r="K2" s="4" t="s">
        <v>6</v>
      </c>
      <c r="L2" s="8">
        <v>0.3</v>
      </c>
    </row>
    <row r="3" spans="1:12" x14ac:dyDescent="0.25">
      <c r="K3" s="4" t="s">
        <v>9</v>
      </c>
      <c r="L3" s="7">
        <f ca="1">TODAY()</f>
        <v>43129</v>
      </c>
    </row>
    <row r="4" spans="1:12" x14ac:dyDescent="0.25">
      <c r="K4" s="4" t="s">
        <v>13</v>
      </c>
      <c r="L4" s="6" t="str">
        <f ca="1">LOWER(TEXT(L3,"dd-mmm-yyyy"))</f>
        <v>29-ene-2018</v>
      </c>
    </row>
    <row r="5" spans="1:12" x14ac:dyDescent="0.25">
      <c r="K5" s="4" t="s">
        <v>7</v>
      </c>
      <c r="L5" s="6">
        <v>700</v>
      </c>
    </row>
    <row r="6" spans="1:12" x14ac:dyDescent="0.25">
      <c r="K6" s="4" t="s">
        <v>10</v>
      </c>
      <c r="L6" s="6">
        <f>+Piso/10</f>
        <v>70</v>
      </c>
    </row>
    <row r="7" spans="1:12" x14ac:dyDescent="0.25">
      <c r="K7" s="4" t="s">
        <v>11</v>
      </c>
      <c r="L7" s="9" t="s">
        <v>16</v>
      </c>
    </row>
    <row r="14" spans="1:12" x14ac:dyDescent="0.25">
      <c r="H14" s="10"/>
      <c r="I14" s="10"/>
    </row>
  </sheetData>
  <dataValidations count="1">
    <dataValidation type="list" allowBlank="1" showInputMessage="1" showErrorMessage="1" sqref="L7">
      <formula1>Líneas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4"/>
  <sheetViews>
    <sheetView showGridLines="0" showRowColHeaders="0" tabSelected="1" zoomScale="70" zoomScaleNormal="70" workbookViewId="0">
      <selection activeCell="A2" sqref="A2"/>
    </sheetView>
  </sheetViews>
  <sheetFormatPr baseColWidth="10" defaultRowHeight="15" x14ac:dyDescent="0.25"/>
  <cols>
    <col min="1" max="2" width="138.28515625" customWidth="1"/>
    <col min="3" max="3" width="20.140625" bestFit="1" customWidth="1"/>
    <col min="18" max="18" width="4" bestFit="1" customWidth="1"/>
  </cols>
  <sheetData>
    <row r="1" spans="1:2" ht="15.75" thickBot="1" x14ac:dyDescent="0.3"/>
    <row r="2" spans="1:2" ht="409.5" customHeight="1" thickBot="1" x14ac:dyDescent="0.3">
      <c r="A2" s="5" t="str">
        <f>"Ponderado 
Diario "&amp;CHAR(10)&amp;(IF(ROUNDDOWN(Tabla_Consulta_desde_WALDBOTT6[CantidadPedidos]*Pedidos+Tabla_Consulta_desde_WALDBOTT6[UxB FACT]*Unidades,0)=0,"N/D",ROUNDDOWN(Tabla_Consulta_desde_WALDBOTT6[CantidadPedidos]*Pedidos+Tabla_Consulta_desde_WALDBOTT6[UxB FACT]*Unidades,0)))</f>
        <v>Ponderado 
Diario 
N/D</v>
      </c>
      <c r="B2" s="5" t="str">
        <f>"Reclamos 
Mensual "&amp;CHAR(10)&amp;(IF(Tabla_Consulta_desde_WALDBOTT6[Reclamos]="","N/D",Tabla_Consulta_desde_WALDBOTT6[Reclamos]))</f>
        <v>Reclamos 
Mensual 
N/D</v>
      </c>
    </row>
    <row r="4" spans="1:2" ht="26.25" x14ac:dyDescent="0.4">
      <c r="B4" s="11" t="s">
        <v>17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</vt:i4>
      </vt:variant>
    </vt:vector>
  </HeadingPairs>
  <TitlesOfParts>
    <vt:vector size="8" baseType="lpstr">
      <vt:lpstr>Rpt GOL</vt:lpstr>
      <vt:lpstr>Pantalla</vt:lpstr>
      <vt:lpstr>LineaAMostrar</vt:lpstr>
      <vt:lpstr>Pedidos</vt:lpstr>
      <vt:lpstr>Piso</vt:lpstr>
      <vt:lpstr>Piso_Horario</vt:lpstr>
      <vt:lpstr>txtFechaProceso</vt:lpstr>
      <vt:lpstr>Unidades</vt:lpstr>
    </vt:vector>
  </TitlesOfParts>
  <Company>Cromosol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Canosa</dc:creator>
  <cp:lastModifiedBy>Usuario de Windows</cp:lastModifiedBy>
  <cp:lastPrinted>2017-06-01T15:26:15Z</cp:lastPrinted>
  <dcterms:created xsi:type="dcterms:W3CDTF">2017-05-24T15:35:22Z</dcterms:created>
  <dcterms:modified xsi:type="dcterms:W3CDTF">2018-01-29T12:01:00Z</dcterms:modified>
</cp:coreProperties>
</file>