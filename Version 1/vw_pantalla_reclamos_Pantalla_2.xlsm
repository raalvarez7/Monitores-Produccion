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bookViews>
    <workbookView showHorizontalScroll="0" showVerticalScroll="0" showSheetTabs="0" xWindow="0" yWindow="0" windowWidth="19440" windowHeight="12480" activeTab="1"/>
  </bookViews>
  <sheets>
    <sheet name="Rpt GOL" sheetId="5" r:id="rId1"/>
    <sheet name="Pantalla" sheetId="6" r:id="rId2"/>
  </sheet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5" l="1"/>
  <c r="A2" i="6" l="1"/>
  <c r="B2" i="6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<sst xmlns="http://schemas.openxmlformats.org/spreadsheetml/2006/main" count="19" uniqueCount="18">
  <si>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</si>
  <si>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</si>
  <si>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</si>
  <si>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</si>
  <si>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</si>
  <si>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</si>
  <si>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</si>
  <si>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</si>
  <si>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</si>
  <si>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</si>
  <si>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</si>
  <si>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</si>
  <si>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</si>
  <si>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</si>
  <si>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</si>
  <si>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</si>
  <si>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LINEA 4</t>
  </si>
  <si>
    <t>Ultima actualización: 17/01/2018 12:50:33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</si>
</sst>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-yyyy;@"/>
    <numFmt numFmtId="165" formatCode="dd\-mmm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3" fillId="0" borderId="2" xfId="0" applyNumberFormat="1" applyFont="1" applyBorder="1" applyAlignment="1">
      <alignment horizontal="center" vertical="center" wrapText="1"/>
    </xf>
    <xf numFmtId="1" fontId="0" fillId="4" borderId="3" xfId="0" applyNumberFormat="1" applyFont="1" applyFill="1" applyBorder="1" applyAlignment="1">
      <alignment horizontal="center" vertical="center"/>
    </xf>
    <xf numFmtId="165" fontId="0" fillId="4" borderId="3" xfId="0" applyNumberFormat="1" applyFont="1" applyFill="1" applyBorder="1" applyAlignment="1">
      <alignment horizontal="center" vertical="center"/>
    </xf>
    <xf numFmtId="9" fontId="0" fillId="4" borderId="3" xfId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7">
    <dxf>
      <numFmt numFmtId="1" formatCode="0"/>
    </dxf>
    <dxf>
      <numFmt numFmtId="1" formatCode="0"/>
    </dxf>
    <dxf>
      <numFmt numFmtId="164" formatCode="dd\-mmm\-yyyy;@"/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4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headerRowDxfId="6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5"/>
    <tableColumn id="9" uniqueName="9" name="Reclamos" totalsRowFunction="average" queryTableFieldId="10" totalsRowDxfId="4"/>
    <tableColumn id="7" uniqueName="7" name="PromedioMensual" queryTableFieldId="11" totalsRowDxfId="3"/>
    <tableColumn id="8" uniqueName="8" name="TxtReclamos" queryTableFieldId="12" dataDxfId="1"/>
    <tableColumn id="10" uniqueName="10" name="TxtPonderado" queryTableFieldId="13" dataDxfId="0">
      <calculatedColumnFormula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opLeftCell="C1" zoomScaleNormal="100" workbookViewId="0">
      <selection activeCell="L8" sqref="L8"/>
    </sheetView>
  </sheetViews>
  <sheetFormatPr baseColWidth="10" defaultRowHeight="15" x14ac:dyDescent="0.25"/>
  <cols>
    <col min="1" max="1" width="11.710937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8">
        <v>0.7</v>
      </c>
    </row>
    <row r="2" spans="1:12" x14ac:dyDescent="0.25">
      <c r="A2" s="2">
        <v>43117</v>
      </c>
      <c r="B2" t="s">
        <v>16</v>
      </c>
      <c r="C2">
        <v>5</v>
      </c>
      <c r="D2">
        <v>0</v>
      </c>
      <c r="E2">
        <v>0</v>
      </c>
      <c r="F2">
        <v>226</v>
      </c>
      <c r="G2">
        <v>0</v>
      </c>
      <c r="H2" s="1"/>
      <c r="I2" s="1">
        <f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f>
        <v>3</v>
      </c>
      <c r="J2" s="1"/>
      <c r="K2" s="4" t="s">
        <v>6</v>
      </c>
      <c r="L2" s="8">
        <v>0.3</v>
      </c>
    </row>
    <row r="3" spans="1:12" x14ac:dyDescent="0.25">
      <c r="K3" s="4" t="s">
        <v>9</v>
      </c>
      <c r="L3" s="7">
        <f ca="1">TODAY()</f>
        <v>43117</v>
      </c>
    </row>
    <row r="4" spans="1:12" x14ac:dyDescent="0.25">
      <c r="K4" s="4" t="s">
        <v>13</v>
      </c>
      <c r="L4" s="6" t="str">
        <f ca="1">LOWER(TEXT(L3,"dd-mmm-yyyy"))</f>
        <v>17-ene-2018</v>
      </c>
    </row>
    <row r="5" spans="1:12" x14ac:dyDescent="0.25">
      <c r="K5" s="4" t="s">
        <v>7</v>
      </c>
      <c r="L5" s="6">
        <v>700</v>
      </c>
    </row>
    <row r="6" spans="1:12" x14ac:dyDescent="0.25">
      <c r="K6" s="4" t="s">
        <v>10</v>
      </c>
      <c r="L6" s="6">
        <f>+Piso/10</f>
        <v>70</v>
      </c>
    </row>
    <row r="7" spans="1:12" x14ac:dyDescent="0.25">
      <c r="K7" s="4" t="s">
        <v>11</v>
      </c>
      <c r="L7" s="9" t="s">
        <v>16</v>
      </c>
    </row>
    <row r="14" spans="1:12" x14ac:dyDescent="0.25">
      <c r="H14" s="10"/>
      <c r="I14" s="10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"/>
  <sheetViews>
    <sheetView showGridLines="0" showRowColHeaders="0" tabSelected="1" zoomScale="70" zoomScaleNormal="70" workbookViewId="0">
      <selection activeCell="A2" sqref="A2"/>
    </sheetView>
  </sheetViews>
  <sheetFormatPr baseColWidth="10" defaultRowHeight="15" x14ac:dyDescent="0.25"/>
  <cols>
    <col min="1" max="2" width="138.28515625" customWidth="1"/>
    <col min="3" max="3" width="20.140625" bestFit="1" customWidth="1"/>
    <col min="18" max="18" width="4" bestFit="1" customWidth="1"/>
  </cols>
  <sheetData>
    <row r="1" spans="1:2" ht="15.75" thickBot="1" x14ac:dyDescent="0.3"/>
    <row r="2" spans="1:2" ht="409.5" customHeight="1" thickBot="1" x14ac:dyDescent="0.3">
      <c r="A2" s="5" t="str">
        <f>"Ponderado 
Diario "&amp;CHAR(10)&amp;(IF(ROUNDDOWN(Tabla_Consulta_desde_WALDBOTT6[CantidadPedidos]*Pedidos+Tabla_Consulta_desde_WALDBOTT6[UxB FACT]*Unidades,0)=0,"N/D",ROUNDDOWN(Tabla_Consulta_desde_WALDBOTT6[CantidadPedidos]*Pedidos+Tabla_Consulta_desde_WALDBOTT6[UxB FACT]*Unidades,0)))</f>
        <v>Ponderado 
Diario 
3</v>
      </c>
      <c r="B2" s="5" t="str">
        <f>"Reclamos 
Mensual "&amp;CHAR(10)&amp;(IF(Tabla_Consulta_desde_WALDBOTT6[Reclamos]="","N/D",Tabla_Consulta_desde_WALDBOTT6[Reclamos]))</f>
        <v>Reclamos 
Mensual 
226</v>
      </c>
    </row>
    <row r="4" spans="1:2" ht="26.25" x14ac:dyDescent="0.4">
      <c r="B4" s="1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Rpt GOL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2018-01-17T15:50:33Z</dcterms:modified>
</cp:coreProperties>
</file>